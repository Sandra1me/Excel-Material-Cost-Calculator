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sandr\Desktop\Portfolio\Excel\2025-11-04 Calculadora de costes de materiales\"/>
    </mc:Choice>
  </mc:AlternateContent>
  <xr:revisionPtr revIDLastSave="0" documentId="13_ncr:1_{AD499C0D-B946-46B0-AFA8-F0CF53C5799E}" xr6:coauthVersionLast="47" xr6:coauthVersionMax="47" xr10:uidLastSave="{00000000-0000-0000-0000-000000000000}"/>
  <bookViews>
    <workbookView xWindow="-23148" yWindow="4188" windowWidth="23256" windowHeight="12576" xr2:uid="{2FDD0E04-0A92-47E2-9EF7-95694797E02D}"/>
  </bookViews>
  <sheets>
    <sheet name="Notes" sheetId="4" r:id="rId1"/>
    <sheet name="Summary" sheetId="1" r:id="rId2"/>
    <sheet name="Detail" sheetId="2" r:id="rId3"/>
    <sheet name="Prices" sheetId="3" r:id="rId4"/>
  </sheets>
  <definedNames>
    <definedName name="SegmentaciónDeDatos_Supplier">#N/A</definedName>
    <definedName name="SegmentaciónDeDatos_Type">#N/A</definedName>
  </definedNames>
  <calcPr calcId="181029"/>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2" l="1"/>
  <c r="I3" i="2"/>
  <c r="I4" i="2"/>
  <c r="I5" i="2"/>
  <c r="I6" i="2"/>
  <c r="E7" i="1"/>
  <c r="G2" i="2"/>
  <c r="H2" i="2" s="1"/>
  <c r="G3" i="2"/>
  <c r="H3" i="2" s="1"/>
  <c r="G4" i="2"/>
  <c r="H4" i="2" s="1"/>
  <c r="G5" i="2"/>
  <c r="H5" i="2" s="1"/>
  <c r="G6" i="2"/>
  <c r="H6" i="2" s="1"/>
  <c r="E2" i="2"/>
  <c r="E3" i="2"/>
  <c r="E4" i="2"/>
  <c r="E5" i="2"/>
  <c r="E6" i="2"/>
  <c r="B2" i="2"/>
  <c r="B3" i="2"/>
  <c r="B4" i="2"/>
  <c r="B5" i="2"/>
  <c r="B6" i="2"/>
  <c r="D2" i="2"/>
  <c r="D3" i="2"/>
  <c r="D4" i="2"/>
  <c r="D5" i="2"/>
  <c r="D6" i="2"/>
  <c r="E8" i="1"/>
  <c r="A2" i="2" l="1"/>
  <c r="A3" i="2" s="1"/>
  <c r="A4" i="2" s="1"/>
  <c r="A5" i="2" s="1"/>
  <c r="A6" i="2" s="1"/>
</calcChain>
</file>

<file path=xl/sharedStrings.xml><?xml version="1.0" encoding="utf-8"?>
<sst xmlns="http://schemas.openxmlformats.org/spreadsheetml/2006/main" count="132" uniqueCount="94">
  <si>
    <t>Code</t>
  </si>
  <si>
    <t>Material</t>
  </si>
  <si>
    <t>Type</t>
  </si>
  <si>
    <t>Unit</t>
  </si>
  <si>
    <t>A100</t>
  </si>
  <si>
    <t>C Profile 40x40x3</t>
  </si>
  <si>
    <t>Aluminium</t>
  </si>
  <si>
    <t>m</t>
  </si>
  <si>
    <t>Unit Price (€)</t>
  </si>
  <si>
    <t>A110</t>
  </si>
  <si>
    <t>Sheet 5mm</t>
  </si>
  <si>
    <t>m^2</t>
  </si>
  <si>
    <t>S200</t>
  </si>
  <si>
    <t>Plate 2mm</t>
  </si>
  <si>
    <t>Steel</t>
  </si>
  <si>
    <t>S210</t>
  </si>
  <si>
    <t>Rod D8</t>
  </si>
  <si>
    <t>P300</t>
  </si>
  <si>
    <t>Nylon Bloc</t>
  </si>
  <si>
    <t>Plastic</t>
  </si>
  <si>
    <t>kg</t>
  </si>
  <si>
    <t>P310</t>
  </si>
  <si>
    <t>PVC Pipe</t>
  </si>
  <si>
    <t>T400</t>
  </si>
  <si>
    <t>Screw M6x20</t>
  </si>
  <si>
    <t>ud</t>
  </si>
  <si>
    <t>T410</t>
  </si>
  <si>
    <t>Nut M6</t>
  </si>
  <si>
    <t>Fasteners</t>
  </si>
  <si>
    <t>E500</t>
  </si>
  <si>
    <t>Electric wire 1.5mm^2</t>
  </si>
  <si>
    <t>Electronics</t>
  </si>
  <si>
    <t>E510</t>
  </si>
  <si>
    <t>Fast coupling</t>
  </si>
  <si>
    <t>P600</t>
  </si>
  <si>
    <t>Epoxy Paint Gray</t>
  </si>
  <si>
    <t>Finishing</t>
  </si>
  <si>
    <t>L</t>
  </si>
  <si>
    <t>P610</t>
  </si>
  <si>
    <t>Metallic print</t>
  </si>
  <si>
    <t>Item</t>
  </si>
  <si>
    <t>Description</t>
  </si>
  <si>
    <t>Quantity</t>
  </si>
  <si>
    <t>Remarks</t>
  </si>
  <si>
    <t>Cost (€)</t>
  </si>
  <si>
    <t>Total Cost (€)</t>
  </si>
  <si>
    <t>TOTAL COST:</t>
  </si>
  <si>
    <t>Project Name:</t>
  </si>
  <si>
    <t>Sample Name</t>
  </si>
  <si>
    <t>Creation Date:</t>
  </si>
  <si>
    <t>Total Cost</t>
  </si>
  <si>
    <t>Supplier</t>
  </si>
  <si>
    <t>MatAlu S.A.</t>
  </si>
  <si>
    <t>AeroMetals  Iberia</t>
  </si>
  <si>
    <t>PlastiTech</t>
  </si>
  <si>
    <t>Polimac Europe</t>
  </si>
  <si>
    <t>MicroSense</t>
  </si>
  <si>
    <t>ElectroHub</t>
  </si>
  <si>
    <t>FastenPro</t>
  </si>
  <si>
    <t>InduPaint</t>
  </si>
  <si>
    <t>Etiquetas de fila</t>
  </si>
  <si>
    <t>Total general</t>
  </si>
  <si>
    <t>Suma de Cost (€)</t>
  </si>
  <si>
    <t>The Material Cost Calculator is an Excel-based tool designed to estimate total project or part costs based on material quantities and unit prices. It automatically aggregates costs by material type and supplier, featuring dynamic tables, charts, and VBA automation for real-time updates.</t>
  </si>
  <si>
    <t>Features</t>
  </si>
  <si>
    <t>Automatic cost calculation by material and supplier.</t>
  </si>
  <si>
    <r>
      <t>Use of core Excel functions (</t>
    </r>
    <r>
      <rPr>
        <sz val="8"/>
        <color rgb="FF1F2328"/>
        <rFont val="Consolas"/>
        <family val="3"/>
      </rPr>
      <t>XLOOKUP, SUM, PRODUCT</t>
    </r>
    <r>
      <rPr>
        <sz val="10"/>
        <color rgb="FF1F2328"/>
        <rFont val="Segoe UI"/>
        <family val="2"/>
      </rPr>
      <t>, etc.).</t>
    </r>
  </si>
  <si>
    <t>Refresh with a button via VBA when data changes.</t>
  </si>
  <si>
    <t>Interactive dashboards with slicers for Material Type.</t>
  </si>
  <si>
    <t>Cost distribution charts for clear visual analysis.</t>
  </si>
  <si>
    <t>Structured and modular sheet design (Prices, Detail, Summary, Notes).</t>
  </si>
  <si>
    <t>Structure</t>
  </si>
  <si>
    <t>Prices --&gt; Material database including code, name, type, unit price, and supplier. You can add or edit items freely.</t>
  </si>
  <si>
    <t>Detail --&gt; Project input: material codes and quantities. Only modify the Quantity column and select material type; other fields update automatically.</t>
  </si>
  <si>
    <t>Summary --&gt; Dynamic table summarizing total costs and graphical insights. Filters available via slicers (Material Type, Supplier).</t>
  </si>
  <si>
    <t>Notes --&gt; Documentation and version information. Internal README for quick reference.</t>
  </si>
  <si>
    <t>Usage</t>
  </si>
  <si>
    <t>1. Open the workbook and go to the Detail sheet.</t>
  </si>
  <si>
    <t>2. Select a material description (dropdown list).</t>
  </si>
  <si>
    <t>3. Enter the quantity required.</t>
  </si>
  <si>
    <t>4. The total cost updates automatically.</t>
  </si>
  <si>
    <t>5. Check the Summary sheet for charts and breakdowns. Push the Update button to propagate changes to prices or quantity in the Prices sheet throughout the workbook.</t>
  </si>
  <si>
    <t>Future Improvements</t>
  </si>
  <si>
    <t>Add cost-per-project summary by category.</t>
  </si>
  <si>
    <t>Include a form-based data entry system (VBA UserForm).</t>
  </si>
  <si>
    <t>Add automatic export to PDF for reporting.</t>
  </si>
  <si>
    <t>Optional password protection for summary formulas.</t>
  </si>
  <si>
    <t>Author &amp; Version</t>
  </si>
  <si>
    <t>Created by: Sandra Martín</t>
  </si>
  <si>
    <t>Version: 1.0</t>
  </si>
  <si>
    <t>Date: November 4, 2025</t>
  </si>
  <si>
    <t>License</t>
  </si>
  <si>
    <t>This project is released under the MIT License. Feel free to modify and reuse for personal or educational purposes.</t>
  </si>
  <si>
    <t>Excel Material Cost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</si>
</sst>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quot;€&quot;"/>
  </numFmts>
  <fonts count="8" x14ac:knownFonts="1">
    <font>
      <sz val="11"/>
      <color theme="1"/>
      <name val="Century Gothic"/>
      <family val="2"/>
      <scheme val="minor"/>
    </font>
    <font>
      <b/>
      <sz val="11"/>
      <color theme="1"/>
      <name val="Century Gothic"/>
      <family val="2"/>
      <scheme val="minor"/>
    </font>
    <font>
      <sz val="11"/>
      <color rgb="FF000000"/>
      <name val="Century Gothic"/>
      <family val="2"/>
    </font>
    <font>
      <sz val="22"/>
      <color rgb="FF1F2328"/>
      <name val="Segoe UI"/>
      <family val="2"/>
    </font>
    <font>
      <sz val="10"/>
      <color rgb="FF1F2328"/>
      <name val="Segoe UI"/>
      <family val="2"/>
    </font>
    <font>
      <sz val="16.5"/>
      <color rgb="FF1F2328"/>
      <name val="Segoe UI"/>
      <family val="2"/>
    </font>
    <font>
      <sz val="8"/>
      <color rgb="FF1F2328"/>
      <name val="Consolas"/>
      <family val="3"/>
    </font>
    <font>
      <u/>
      <sz val="11"/>
      <color theme="10"/>
      <name val="Century Gothic"/>
      <family val="2"/>
      <scheme val="minor"/>
    </font>
  </fonts>
  <fills count="3">
    <fill>
      <patternFill patternType="none"/>
    </fill>
    <fill>
      <patternFill patternType="gray125"/>
    </fill>
    <fill>
      <patternFill patternType="solid">
        <fgColor theme="3" tint="0.79998168889431442"/>
        <bgColor indexed="64"/>
      </patternFill>
    </fill>
  </fills>
  <borders count="12">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Dashed">
        <color auto="1"/>
      </left>
      <right style="mediumDashed">
        <color auto="1"/>
      </right>
      <top style="mediumDashed">
        <color auto="1"/>
      </top>
      <bottom/>
      <diagonal/>
    </border>
    <border>
      <left style="mediumDashed">
        <color auto="1"/>
      </left>
      <right style="mediumDashed">
        <color auto="1"/>
      </right>
      <top/>
      <bottom/>
      <diagonal/>
    </border>
    <border>
      <left style="mediumDashed">
        <color auto="1"/>
      </left>
      <right style="mediumDashed">
        <color auto="1"/>
      </right>
      <top/>
      <bottom style="mediumDashed">
        <color auto="1"/>
      </bottom>
      <diagonal/>
    </border>
    <border>
      <left/>
      <right style="thin">
        <color theme="4" tint="0.39997558519241921"/>
      </right>
      <top style="thin">
        <color theme="4" tint="0.39997558519241921"/>
      </top>
      <bottom style="thin">
        <color theme="4" tint="0.39997558519241921"/>
      </bottom>
      <diagonal/>
    </border>
    <border>
      <left/>
      <right/>
      <top/>
      <bottom style="medium">
        <color rgb="FFD8DEE4"/>
      </bottom>
      <diagonal/>
    </border>
  </borders>
  <cellStyleXfs count="2">
    <xf numFmtId="0" fontId="0" fillId="0" borderId="0"/>
    <xf numFmtId="0" fontId="7" fillId="0" borderId="0" applyNumberFormat="0" applyFill="0" applyBorder="0" applyAlignment="0" applyProtection="0"/>
  </cellStyleXfs>
  <cellXfs count="26">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0" fillId="0" borderId="0" xfId="0" applyAlignment="1">
      <alignment horizontal="center" vertical="center"/>
    </xf>
    <xf numFmtId="1" fontId="0" fillId="0" borderId="0" xfId="0" applyNumberFormat="1" applyAlignment="1">
      <alignment horizontal="center" vertical="center" wrapText="1"/>
    </xf>
    <xf numFmtId="164" fontId="0" fillId="0" borderId="0" xfId="0" applyNumberFormat="1"/>
    <xf numFmtId="0" fontId="1" fillId="2" borderId="1" xfId="0" applyFont="1" applyFill="1" applyBorder="1"/>
    <xf numFmtId="164" fontId="1" fillId="2" borderId="2" xfId="0" applyNumberFormat="1" applyFont="1" applyFill="1" applyBorder="1" applyAlignment="1">
      <alignment horizontal="right"/>
    </xf>
    <xf numFmtId="0" fontId="1" fillId="2" borderId="3" xfId="0" applyFont="1" applyFill="1" applyBorder="1"/>
    <xf numFmtId="14" fontId="1" fillId="2" borderId="4" xfId="0" applyNumberFormat="1" applyFont="1" applyFill="1" applyBorder="1" applyAlignment="1">
      <alignment horizontal="right"/>
    </xf>
    <xf numFmtId="0" fontId="1" fillId="2" borderId="5" xfId="0" applyFont="1" applyFill="1" applyBorder="1"/>
    <xf numFmtId="164" fontId="1" fillId="2" borderId="6" xfId="0" applyNumberFormat="1" applyFont="1" applyFill="1" applyBorder="1" applyAlignment="1">
      <alignment horizontal="right"/>
    </xf>
    <xf numFmtId="0" fontId="0" fillId="0" borderId="7" xfId="0" applyBorder="1" applyAlignment="1">
      <alignment horizontal="center" vertical="center"/>
    </xf>
    <xf numFmtId="0" fontId="0" fillId="0" borderId="8" xfId="0" applyBorder="1" applyAlignment="1">
      <alignment horizontal="center" vertical="center" wrapText="1"/>
    </xf>
    <xf numFmtId="0" fontId="0" fillId="0" borderId="9" xfId="0" applyBorder="1" applyAlignment="1">
      <alignment horizontal="center" vertical="center" wrapText="1"/>
    </xf>
    <xf numFmtId="1" fontId="0" fillId="0" borderId="8" xfId="0" applyNumberFormat="1" applyBorder="1" applyAlignment="1">
      <alignment horizontal="center" vertical="center" wrapText="1"/>
    </xf>
    <xf numFmtId="1" fontId="0" fillId="0" borderId="9" xfId="0" applyNumberFormat="1" applyBorder="1" applyAlignment="1">
      <alignment horizontal="center" vertical="center" wrapText="1"/>
    </xf>
    <xf numFmtId="0" fontId="0" fillId="0" borderId="10" xfId="0"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3" fillId="0" borderId="11" xfId="0" applyFont="1" applyBorder="1" applyAlignment="1">
      <alignment vertical="center" wrapText="1"/>
    </xf>
    <xf numFmtId="0" fontId="4" fillId="0" borderId="0" xfId="0" applyFont="1" applyAlignment="1">
      <alignment vertical="center" wrapText="1"/>
    </xf>
    <xf numFmtId="0" fontId="5" fillId="0" borderId="11" xfId="0" applyFont="1" applyBorder="1" applyAlignment="1">
      <alignment vertical="center" wrapText="1"/>
    </xf>
    <xf numFmtId="0" fontId="4" fillId="0" borderId="0" xfId="0" applyFont="1" applyAlignment="1">
      <alignment horizontal="left" vertical="center" wrapText="1" indent="1"/>
    </xf>
    <xf numFmtId="0" fontId="7" fillId="0" borderId="0" xfId="1" applyAlignment="1">
      <alignment vertical="center" wrapText="1"/>
    </xf>
  </cellXfs>
  <cellStyles count="2">
    <cellStyle name="Hipervínculo" xfId="1" builtinId="8"/>
    <cellStyle name="Normal" xfId="0" builtinId="0"/>
  </cellStyles>
  <dxfs count="20">
    <dxf>
      <fill>
        <patternFill patternType="none">
          <bgColor auto="1"/>
        </patternFill>
      </fill>
      <alignment horizontal="center" vertical="center" textRotation="0" wrapText="1" indent="0" justifyLastLine="0" shrinkToFit="0" readingOrder="0"/>
    </dxf>
    <dxf>
      <numFmt numFmtId="164" formatCode="#,##0.00\ &quot;€&quot;"/>
      <fill>
        <patternFill patternType="none">
          <bgColor auto="1"/>
        </patternFill>
      </fill>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dxf>
    <dxf>
      <alignment horizontal="center" vertical="center" textRotation="0" wrapText="1" indent="0" justifyLastLine="0" shrinkToFit="0" readingOrder="0"/>
      <border diagonalUp="0" diagonalDown="0">
        <left style="mediumDashed">
          <color auto="1"/>
        </left>
        <right style="mediumDashed">
          <color auto="1"/>
        </right>
        <top/>
        <bottom/>
        <vertical/>
        <horizontal/>
      </border>
    </dxf>
    <dxf>
      <numFmt numFmtId="164" formatCode="#,##0.00\ &quot;€&quot;"/>
      <alignment horizontal="center" vertical="center" textRotation="0" wrapText="1" indent="0" justifyLastLine="0" shrinkToFit="0" readingOrder="0"/>
    </dxf>
    <dxf>
      <numFmt numFmtId="164" formatCode="#,##0.00\ &quot;€&quot;"/>
      <alignment horizontal="center" vertical="center" textRotation="0" wrapText="1" indent="0" justifyLastLine="0" shrinkToFit="0" readingOrder="0"/>
    </dxf>
    <dxf>
      <numFmt numFmtId="164" formatCode="#,##0.00\ &quot;€&quot;"/>
      <alignment horizontal="center" vertical="center" textRotation="0" wrapText="1" indent="0" justifyLastLine="0" shrinkToFit="0" readingOrder="0"/>
    </dxf>
    <dxf>
      <numFmt numFmtId="1" formatCode="0"/>
      <alignment horizontal="center" vertical="center" textRotation="0" wrapText="1" indent="0" justifyLastLine="0" shrinkToFit="0" readingOrder="0"/>
      <border diagonalUp="0" diagonalDown="0">
        <left style="mediumDashed">
          <color auto="1"/>
        </left>
        <right style="mediumDashed">
          <color auto="1"/>
        </right>
        <top/>
        <bottom/>
        <vertical/>
        <horizontal/>
      </border>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border diagonalUp="0" diagonalDown="0">
        <left style="mediumDashed">
          <color auto="1"/>
        </left>
        <right style="mediumDashed">
          <color auto="1"/>
        </right>
        <top/>
        <bottom/>
        <vertical/>
        <horizontal/>
      </border>
    </dxf>
    <dxf>
      <numFmt numFmtId="0" formatCode="General"/>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[Material_cost-calculator.xlsm]Summary!TablaDinámica7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cost</a:t>
            </a:r>
            <a:r>
              <a:rPr lang="en-US" baseline="0"/>
              <a:t> per material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Summary!$F$11</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Summary!$E$12:$E$19</c:f>
              <c:multiLvlStrCache>
                <c:ptCount val="4"/>
                <c:lvl>
                  <c:pt idx="0">
                    <c:v>AeroMetals  Iberia</c:v>
                  </c:pt>
                  <c:pt idx="1">
                    <c:v>MatAlu S.A.</c:v>
                  </c:pt>
                  <c:pt idx="2">
                    <c:v>FastenPro</c:v>
                  </c:pt>
                  <c:pt idx="3">
                    <c:v>Polimac Europe</c:v>
                  </c:pt>
                </c:lvl>
                <c:lvl>
                  <c:pt idx="0">
                    <c:v>Aluminium</c:v>
                  </c:pt>
                  <c:pt idx="2">
                    <c:v>Fasteners</c:v>
                  </c:pt>
                  <c:pt idx="3">
                    <c:v>Plastic</c:v>
                  </c:pt>
                </c:lvl>
              </c:multiLvlStrCache>
            </c:multiLvlStrRef>
          </c:cat>
          <c:val>
            <c:numRef>
              <c:f>Summary!$F$12:$F$19</c:f>
              <c:numCache>
                <c:formatCode>#,##0.00\ "€"</c:formatCode>
                <c:ptCount val="4"/>
                <c:pt idx="0">
                  <c:v>135</c:v>
                </c:pt>
                <c:pt idx="1">
                  <c:v>42.5</c:v>
                </c:pt>
                <c:pt idx="2">
                  <c:v>124</c:v>
                </c:pt>
                <c:pt idx="3">
                  <c:v>28.749999999999996</c:v>
                </c:pt>
              </c:numCache>
            </c:numRef>
          </c:val>
          <c:extLst>
            <c:ext xmlns:c16="http://schemas.microsoft.com/office/drawing/2014/chart" uri="{C3380CC4-5D6E-409C-BE32-E72D297353CC}">
              <c16:uniqueId val="{00000002-5B43-4A98-8720-045E42F895EE}"/>
            </c:ext>
          </c:extLst>
        </c:ser>
        <c:dLbls>
          <c:dLblPos val="outEnd"/>
          <c:showLegendKey val="0"/>
          <c:showVal val="1"/>
          <c:showCatName val="0"/>
          <c:showSerName val="0"/>
          <c:showPercent val="0"/>
          <c:showBubbleSize val="0"/>
        </c:dLbls>
        <c:gapWidth val="219"/>
        <c:overlap val="-27"/>
        <c:axId val="1480242224"/>
        <c:axId val="1480242552"/>
      </c:barChart>
      <c:catAx>
        <c:axId val="1480242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480242552"/>
        <c:crosses val="autoZero"/>
        <c:auto val="1"/>
        <c:lblAlgn val="ctr"/>
        <c:lblOffset val="100"/>
        <c:noMultiLvlLbl val="0"/>
      </c:catAx>
      <c:valAx>
        <c:axId val="1480242552"/>
        <c:scaling>
          <c:orientation val="minMax"/>
        </c:scaling>
        <c:delete val="1"/>
        <c:axPos val="l"/>
        <c:majorGridlines>
          <c:spPr>
            <a:ln w="9525" cap="flat" cmpd="sng" algn="ctr">
              <a:solidFill>
                <a:schemeClr val="tx1">
                  <a:lumMod val="15000"/>
                  <a:lumOff val="85000"/>
                </a:schemeClr>
              </a:solidFill>
              <a:round/>
            </a:ln>
            <a:effectLst/>
          </c:spPr>
        </c:majorGridlines>
        <c:numFmt formatCode="#,##0.00\ &quot;€&quot;" sourceLinked="1"/>
        <c:majorTickMark val="out"/>
        <c:minorTickMark val="none"/>
        <c:tickLblPos val="nextTo"/>
        <c:crossAx val="1480242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[Material_cost-calculator.xlsm]Summary!TablaDinámica1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cost per material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Summary!$C$36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1B-46CC-A201-0B52637440F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1B-46CC-A201-0B52637440F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1B-46CC-A201-0B52637440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Summary!$B$37:$B$40</c:f>
              <c:strCache>
                <c:ptCount val="3"/>
                <c:pt idx="0">
                  <c:v>Aluminium</c:v>
                </c:pt>
                <c:pt idx="1">
                  <c:v>Fasteners</c:v>
                </c:pt>
                <c:pt idx="2">
                  <c:v>Plastic</c:v>
                </c:pt>
              </c:strCache>
            </c:strRef>
          </c:cat>
          <c:val>
            <c:numRef>
              <c:f>Summary!$C$37:$C$40</c:f>
              <c:numCache>
                <c:formatCode>General</c:formatCode>
                <c:ptCount val="3"/>
                <c:pt idx="0">
                  <c:v>177.5</c:v>
                </c:pt>
                <c:pt idx="1">
                  <c:v>124</c:v>
                </c:pt>
                <c:pt idx="2">
                  <c:v>28.749999999999996</c:v>
                </c:pt>
              </c:numCache>
            </c:numRef>
          </c:val>
          <c:extLst>
            <c:ext xmlns:c16="http://schemas.microsoft.com/office/drawing/2014/chart" uri="{C3380CC4-5D6E-409C-BE32-E72D297353CC}">
              <c16:uniqueId val="{00000001-673D-42C7-855B-20DBEB6FC73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xdr:rowOff>
    </xdr:from>
    <xdr:to>
      <xdr:col>9</xdr:col>
      <xdr:colOff>361951</xdr:colOff>
      <xdr:row>4</xdr:row>
      <xdr:rowOff>1</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3695700" y="209551"/>
          <a:ext cx="6391276" cy="628650"/>
        </a:xfrm>
        <a:prstGeom prst="rect">
          <a:avLst/>
        </a:prstGeom>
        <a:solidFill>
          <a:schemeClr val="tx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2800" b="1"/>
            <a:t>COST SUMMARY PER MATERIAL TYPE</a:t>
          </a:r>
        </a:p>
      </xdr:txBody>
    </xdr:sp>
    <xdr:clientData/>
  </xdr:twoCellAnchor>
  <xdr:twoCellAnchor>
    <xdr:from>
      <xdr:col>8</xdr:col>
      <xdr:colOff>0</xdr:colOff>
      <xdr:row>10</xdr:row>
      <xdr:rowOff>0</xdr:rowOff>
    </xdr:from>
    <xdr:to>
      <xdr:col>15</xdr:col>
      <xdr:colOff>0</xdr:colOff>
      <xdr:row>22</xdr:row>
      <xdr:rowOff>0</xdr:rowOff>
    </xdr:to>
    <xdr:graphicFrame macro="">
      <xdr:nvGraphicFramePr>
        <xdr:cNvPr id="4" name="Gráfico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10</xdr:row>
      <xdr:rowOff>0</xdr:rowOff>
    </xdr:from>
    <xdr:to>
      <xdr:col>3</xdr:col>
      <xdr:colOff>369570</xdr:colOff>
      <xdr:row>18</xdr:row>
      <xdr:rowOff>0</xdr:rowOff>
    </xdr:to>
    <mc:AlternateContent xmlns:mc="http://schemas.openxmlformats.org/markup-compatibility/2006" xmlns:a14="http://schemas.microsoft.com/office/drawing/2010/main">
      <mc:Choice Requires="a14">
        <xdr:graphicFrame macro="">
          <xdr:nvGraphicFramePr>
            <xdr:cNvPr id="6" name="Type">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171575" y="2114550"/>
              <a:ext cx="2524125" cy="167640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9</xdr:col>
      <xdr:colOff>0</xdr:colOff>
      <xdr:row>23</xdr:row>
      <xdr:rowOff>4762</xdr:rowOff>
    </xdr:from>
    <xdr:to>
      <xdr:col>13</xdr:col>
      <xdr:colOff>833438</xdr:colOff>
      <xdr:row>41</xdr:row>
      <xdr:rowOff>0</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1171574</xdr:colOff>
      <xdr:row>20</xdr:row>
      <xdr:rowOff>0</xdr:rowOff>
    </xdr:from>
    <xdr:to>
      <xdr:col>3</xdr:col>
      <xdr:colOff>369569</xdr:colOff>
      <xdr:row>26</xdr:row>
      <xdr:rowOff>0</xdr:rowOff>
    </xdr:to>
    <mc:AlternateContent xmlns:mc="http://schemas.openxmlformats.org/markup-compatibility/2006" xmlns:a14="http://schemas.microsoft.com/office/drawing/2010/main">
      <mc:Choice Requires="a14">
        <xdr:graphicFrame macro="">
          <xdr:nvGraphicFramePr>
            <xdr:cNvPr id="5" name="Supplie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171574" y="4210050"/>
              <a:ext cx="2867025" cy="125730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502920</xdr:colOff>
          <xdr:row>1</xdr:row>
          <xdr:rowOff>99060</xdr:rowOff>
        </xdr:from>
        <xdr:to>
          <xdr:col>11</xdr:col>
          <xdr:colOff>678180</xdr:colOff>
          <xdr:row>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Century Gothic"/>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dra Martin Elias" refreshedDate="45967.369898726851" createdVersion="7" refreshedVersion="8" minRefreshableVersion="3" recordCount="5" xr:uid="{C596A33D-2887-47E5-9970-9BBD97DD8D7A}">
  <cacheSource type="worksheet">
    <worksheetSource name="Table_Details"/>
  </cacheSource>
  <cacheFields count="10">
    <cacheField name="Item" numFmtId="1">
      <sharedItems containsSemiMixedTypes="0" containsString="0" containsNumber="1" containsInteger="1" minValue="1" maxValue="5"/>
    </cacheField>
    <cacheField name="Code" numFmtId="0">
      <sharedItems/>
    </cacheField>
    <cacheField name="Description" numFmtId="0">
      <sharedItems/>
    </cacheField>
    <cacheField name="Type" numFmtId="0">
      <sharedItems count="6">
        <s v="Aluminium"/>
        <s v="Fasteners"/>
        <s v="Plastic"/>
        <s v="Finishing" u="1"/>
        <s v="Electronics" u="1"/>
        <s v="Steel" u="1"/>
      </sharedItems>
    </cacheField>
    <cacheField name="Unit" numFmtId="0">
      <sharedItems/>
    </cacheField>
    <cacheField name="Quantity" numFmtId="1">
      <sharedItems containsSemiMixedTypes="0" containsString="0" containsNumber="1" containsInteger="1" minValue="6" maxValue="1000"/>
    </cacheField>
    <cacheField name="Unit Price (€)" numFmtId="164">
      <sharedItems containsSemiMixedTypes="0" containsString="0" containsNumber="1" minValue="0.08" maxValue="22.5"/>
    </cacheField>
    <cacheField name="Cost (€)" numFmtId="164">
      <sharedItems containsSemiMixedTypes="0" containsString="0" containsNumber="1" minValue="4" maxValue="135"/>
    </cacheField>
    <cacheField name="Supplier" numFmtId="164">
      <sharedItems count="4">
        <s v="MatAlu S.A."/>
        <s v="FastenPro"/>
        <s v="AeroMetals  Iberia"/>
        <s v="Polimac Europe"/>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7342321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dra Martin Elias" refreshedDate="45967.369898958335" createdVersion="7" refreshedVersion="8" minRefreshableVersion="3" recordCount="5" xr:uid="{BA53AD31-5692-4B23-89C2-66C81243870E}">
  <cacheSource type="worksheet">
    <worksheetSource name="Table_Details[[Description]:[Remarks]]"/>
  </cacheSource>
  <cacheFields count="8">
    <cacheField name="Description" numFmtId="0">
      <sharedItems/>
    </cacheField>
    <cacheField name="Type" numFmtId="0">
      <sharedItems count="3">
        <s v="Aluminium"/>
        <s v="Fasteners"/>
        <s v="Plastic"/>
      </sharedItems>
    </cacheField>
    <cacheField name="Unit" numFmtId="0">
      <sharedItems/>
    </cacheField>
    <cacheField name="Quantity" numFmtId="1">
      <sharedItems containsSemiMixedTypes="0" containsString="0" containsNumber="1" containsInteger="1" minValue="6" maxValue="1000"/>
    </cacheField>
    <cacheField name="Unit Price (€)" numFmtId="164">
      <sharedItems containsSemiMixedTypes="0" containsString="0" containsNumber="1" minValue="0.08" maxValue="22.5"/>
    </cacheField>
    <cacheField name="Cost (€)" numFmtId="164">
      <sharedItems containsSemiMixedTypes="0" containsString="0" containsNumber="1" minValue="4" maxValue="135"/>
    </cacheField>
    <cacheField name="Supplier" numFmtId="164">
      <sharedItems/>
    </cacheField>
    <cacheField name="Remark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n v="1"/>
    <s v="A100"/>
    <s v="C Profile 40x40x3"/>
    <x v="0"/>
    <s v="m"/>
    <n v="10"/>
    <n v="4.25"/>
    <n v="42.5"/>
    <x v="0"/>
    <m/>
  </r>
  <r>
    <n v="2"/>
    <s v="T410"/>
    <s v="Nut M6"/>
    <x v="1"/>
    <s v="ud"/>
    <n v="50"/>
    <n v="0.08"/>
    <n v="4"/>
    <x v="1"/>
    <m/>
  </r>
  <r>
    <n v="3"/>
    <s v="A110"/>
    <s v="Sheet 5mm"/>
    <x v="0"/>
    <s v="m^2"/>
    <n v="6"/>
    <n v="22.5"/>
    <n v="135"/>
    <x v="2"/>
    <m/>
  </r>
  <r>
    <n v="4"/>
    <s v="P310"/>
    <s v="PVC Pipe"/>
    <x v="2"/>
    <s v="m"/>
    <n v="25"/>
    <n v="1.1499999999999999"/>
    <n v="28.749999999999996"/>
    <x v="3"/>
    <m/>
  </r>
  <r>
    <n v="5"/>
    <s v="T400"/>
    <s v="Screw M6x20"/>
    <x v="1"/>
    <s v="ud"/>
    <n v="1000"/>
    <n v="0.12"/>
    <n v="120"/>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C Profile 40x40x3"/>
    <x v="0"/>
    <s v="m"/>
    <n v="10"/>
    <n v="4.25"/>
    <n v="42.5"/>
    <s v="MatAlu S.A."/>
    <m/>
  </r>
  <r>
    <s v="Nut M6"/>
    <x v="1"/>
    <s v="ud"/>
    <n v="50"/>
    <n v="0.08"/>
    <n v="4"/>
    <s v="FastenPro"/>
    <m/>
  </r>
  <r>
    <s v="Sheet 5mm"/>
    <x v="0"/>
    <s v="m^2"/>
    <n v="6"/>
    <n v="22.5"/>
    <n v="135"/>
    <s v="AeroMetals  Iberia"/>
    <m/>
  </r>
  <r>
    <s v="PVC Pipe"/>
    <x v="2"/>
    <s v="m"/>
    <n v="25"/>
    <n v="1.1499999999999999"/>
    <n v="28.749999999999996"/>
    <s v="Polimac Europe"/>
    <m/>
  </r>
  <r>
    <s v="Screw M6x20"/>
    <x v="1"/>
    <s v="ud"/>
    <n v="1000"/>
    <n v="0.12"/>
    <n v="120"/>
    <s v="FastenPr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DEE72B-6A7C-4AF9-A41D-AE80AFBACAFF}" name="TablaDinámica1" cacheId="1"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chartFormat="1">
  <location ref="B36:C40" firstHeaderRow="1" firstDataRow="1" firstDataCol="1"/>
  <pivotFields count="8">
    <pivotField showAll="0"/>
    <pivotField axis="axisRow" showAll="0">
      <items count="4">
        <item x="0"/>
        <item x="1"/>
        <item x="2"/>
        <item t="default"/>
      </items>
    </pivotField>
    <pivotField showAll="0"/>
    <pivotField numFmtId="1" showAll="0"/>
    <pivotField numFmtId="164" showAll="0"/>
    <pivotField dataField="1" numFmtId="164" showAll="0"/>
    <pivotField showAll="0"/>
    <pivotField showAll="0"/>
  </pivotFields>
  <rowFields count="1">
    <field x="1"/>
  </rowFields>
  <rowItems count="4">
    <i>
      <x/>
    </i>
    <i>
      <x v="1"/>
    </i>
    <i>
      <x v="2"/>
    </i>
    <i t="grand">
      <x/>
    </i>
  </rowItems>
  <colItems count="1">
    <i/>
  </colItems>
  <dataFields count="1">
    <dataField name="Suma de Cost (€)" fld="5"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6AA8A1-8458-4823-BB8C-9D9CFA1AA2EA}" name="TablaDinámica7" cacheId="0" applyNumberFormats="0" applyBorderFormats="0" applyFontFormats="0" applyPatternFormats="0" applyAlignmentFormats="0" applyWidthHeightFormats="1" dataCaption="Valores" grandTotalCaption="Total Cost" updatedVersion="8" minRefreshableVersion="3" preserveFormatting="0" itemPrintTitles="1" createdVersion="7" indent="0" outline="1" outlineData="1" multipleFieldFilters="0" chartFormat="3" rowHeaderCaption="Material">
  <location ref="E11:F19" firstHeaderRow="1" firstDataRow="1" firstDataCol="1"/>
  <pivotFields count="10">
    <pivotField numFmtId="1" showAll="0"/>
    <pivotField showAll="0"/>
    <pivotField showAll="0"/>
    <pivotField axis="axisRow" showAll="0" includeNewItemsInFilter="1" sortType="descending">
      <items count="7">
        <item x="0"/>
        <item m="1" x="3"/>
        <item x="2"/>
        <item x="1"/>
        <item m="1" x="4"/>
        <item m="1" x="5"/>
        <item t="default"/>
      </items>
      <autoSortScope>
        <pivotArea dataOnly="0" outline="0" fieldPosition="0">
          <references count="1">
            <reference field="4294967294" count="1" selected="0">
              <x v="0"/>
            </reference>
          </references>
        </pivotArea>
      </autoSortScope>
    </pivotField>
    <pivotField showAll="0"/>
    <pivotField numFmtId="1" showAll="0"/>
    <pivotField numFmtId="164" showAll="0"/>
    <pivotField dataField="1" numFmtId="164" showAll="0"/>
    <pivotField axis="axisRow" showAll="0">
      <items count="5">
        <item x="2"/>
        <item x="1"/>
        <item x="3"/>
        <item x="0"/>
        <item t="default"/>
      </items>
    </pivotField>
    <pivotField showAll="0"/>
  </pivotFields>
  <rowFields count="2">
    <field x="3"/>
    <field x="8"/>
  </rowFields>
  <rowItems count="8">
    <i>
      <x/>
    </i>
    <i r="1">
      <x/>
    </i>
    <i r="1">
      <x v="3"/>
    </i>
    <i>
      <x v="3"/>
    </i>
    <i r="1">
      <x v="1"/>
    </i>
    <i>
      <x v="2"/>
    </i>
    <i r="1">
      <x v="2"/>
    </i>
    <i t="grand">
      <x/>
    </i>
  </rowItems>
  <colItems count="1">
    <i/>
  </colItems>
  <dataFields count="1">
    <dataField name="Total Cost (€)" fld="7" baseField="0" baseItem="0" numFmtId="164"/>
  </dataFields>
  <chartFormats count="5">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0"/>
          </reference>
        </references>
      </pivotArea>
    </chartFormat>
    <chartFormat chart="2" format="9">
      <pivotArea type="data" outline="0" fieldPosition="0">
        <references count="2">
          <reference field="4294967294" count="1" selected="0">
            <x v="0"/>
          </reference>
          <reference field="3" count="1" selected="0">
            <x v="3"/>
          </reference>
        </references>
      </pivotArea>
    </chartFormat>
    <chartFormat chart="2" format="10">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ype" xr10:uid="{8CAC8F91-396A-4274-9CE4-6DAACD0EFD7A}" sourceName="Type">
  <pivotTables>
    <pivotTable tabId="1" name="TablaDinámica7"/>
  </pivotTables>
  <data>
    <tabular pivotCacheId="734232177">
      <items count="6">
        <i x="0" s="1"/>
        <i x="1" s="1"/>
        <i x="2" s="1"/>
        <i x="4" s="1" nd="1"/>
        <i x="3"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pplier" xr10:uid="{E9DE5733-9331-4938-A0A7-6909F4641B95}" sourceName="Supplier">
  <pivotTables>
    <pivotTable tabId="1" name="TablaDinámica7"/>
  </pivotTables>
  <data>
    <tabular pivotCacheId="734232177">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666A0372-BDD2-4D72-80DF-36A4313A8955}" cache="SegmentaciónDeDatos_Type" caption="Type" columnCount="2" rowHeight="273050"/>
  <slicer name="Supplier" xr10:uid="{B1297AEC-024F-4434-A93E-1D782CA8E26E}" cache="SegmentaciónDeDatos_Supplier" caption="Supplier" columnCount="2"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528D82-20C8-4792-803C-F4A133F52248}" name="Table_Details" displayName="Table_Details" ref="A1:J6" totalsRowShown="0" headerRowDxfId="19" dataDxfId="18">
  <autoFilter ref="A1:J6" xr:uid="{42528D82-20C8-4792-803C-F4A133F52248}"/>
  <tableColumns count="10">
    <tableColumn id="1" xr3:uid="{C877761E-AA11-4E74-B341-0719757BC562}" name="Item" dataDxfId="17">
      <calculatedColumnFormula>IF(ISBLANK(Table_Details[[#This Row],[Code]]),"",A1+1)</calculatedColumnFormula>
    </tableColumn>
    <tableColumn id="2" xr3:uid="{4836BB31-76E5-4E9E-83AA-63857A807646}" name="Code" dataDxfId="16">
      <calculatedColumnFormula>IF(ISBLANK(Table_Details[[#This Row],[Description]]),"",_xlfn.XLOOKUP(Table_Details[[#This Row],[Description]],Table_Prices[Material],Table_Prices[Code]))</calculatedColumnFormula>
    </tableColumn>
    <tableColumn id="3" xr3:uid="{98032173-CA9A-4267-BBC1-758A2E784089}" name="Description" dataDxfId="15"/>
    <tableColumn id="4" xr3:uid="{764C4031-BB06-44E0-B635-7A0A857E4FE2}" name="Type" dataDxfId="14">
      <calculatedColumnFormula>IF(ISBLANK(Table_Details[[#This Row],[Description]]),"",_xlfn.XLOOKUP(Table_Details[[#This Row],[Description]],Table_Prices[Material],Table_Prices[Type]))</calculatedColumnFormula>
    </tableColumn>
    <tableColumn id="5" xr3:uid="{AD1D4799-BDA3-4815-90F3-4EEC178E3F41}" name="Unit" dataDxfId="13">
      <calculatedColumnFormula>IF(ISBLANK(Table_Details[[#This Row],[Description]]),"",_xlfn.XLOOKUP(Table_Details[[#This Row],[Description]],Table_Prices[Material],Table_Prices[Unit]))</calculatedColumnFormula>
    </tableColumn>
    <tableColumn id="6" xr3:uid="{BC92DA9D-3C31-46D8-A04F-E5FC51F3B550}" name="Quantity" dataDxfId="12"/>
    <tableColumn id="7" xr3:uid="{534CEE0B-F7FA-474D-8DFA-5FBC8DD4E075}" name="Unit Price (€)" dataDxfId="11">
      <calculatedColumnFormula>IF(ISBLANK(Table_Details[[#This Row],[Description]]),"",_xlfn.XLOOKUP(Table_Details[[#This Row],[Description]],Table_Prices[Material],Table_Prices[Unit Price (€)]))</calculatedColumnFormula>
    </tableColumn>
    <tableColumn id="8" xr3:uid="{6BDAD8DE-5383-4227-BDCB-58993FCB40F4}" name="Cost (€)" dataDxfId="10">
      <calculatedColumnFormula>IF(ISBLANK(Table_Details[[#This Row],[Description]]),"",VALUE(Table_Details[[#This Row],[Quantity]]*Table_Details[[#This Row],[Unit Price (€)]]))</calculatedColumnFormula>
    </tableColumn>
    <tableColumn id="11" xr3:uid="{75E9B157-B6A0-459B-B3EE-A2B413E25602}" name="Supplier" dataDxfId="9">
      <calculatedColumnFormula>IF(ISBLANK(Table_Details[[#This Row],[Description]]),"",_xlfn.XLOOKUP(Table_Details[[#This Row],[Description]],Table_Prices[Material],Table_Prices[Supplier]))</calculatedColumnFormula>
    </tableColumn>
    <tableColumn id="9" xr3:uid="{41294115-6D8D-4843-8EB2-90FDE172D40F}" name="Remarks" dataDxfId="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6CC5C8-D0D9-4A6C-AC84-932CF1F81C47}" name="Table_Prices" displayName="Table_Prices" ref="A1:F13" totalsRowShown="0" headerRowDxfId="7" dataDxfId="6">
  <autoFilter ref="A1:F13" xr:uid="{656CC5C8-D0D9-4A6C-AC84-932CF1F81C47}"/>
  <tableColumns count="6">
    <tableColumn id="1" xr3:uid="{2C99C2AE-C24D-4214-B4B4-C30194709179}" name="Code" dataDxfId="5"/>
    <tableColumn id="2" xr3:uid="{EF67CFF7-07E1-4112-BC51-92B4B56C01F0}" name="Material" dataDxfId="4"/>
    <tableColumn id="3" xr3:uid="{8033BF0B-7F18-4FC3-ABF3-8491ED09CEBA}" name="Type" dataDxfId="3"/>
    <tableColumn id="4" xr3:uid="{43B5EDC0-89E0-4994-B8F1-67684E5EB996}" name="Unit" dataDxfId="2"/>
    <tableColumn id="5" xr3:uid="{EAF822C6-0445-464A-8832-E5025BD64757}" name="Unit Price (€)" dataDxfId="1"/>
    <tableColumn id="6" xr3:uid="{2D6EBD68-2FD7-47A2-B4A2-3987115E1B3F}" name="Supplier"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avon">
  <a:themeElements>
    <a:clrScheme name="Savon">
      <a:dk1>
        <a:sysClr val="windowText" lastClr="000000"/>
      </a:dk1>
      <a:lt1>
        <a:sysClr val="window" lastClr="FFFFFF"/>
      </a:lt1>
      <a:dk2>
        <a:srgbClr val="1485A4"/>
      </a:dk2>
      <a:lt2>
        <a:srgbClr val="E3DED1"/>
      </a:lt2>
      <a:accent1>
        <a:srgbClr val="1CADE4"/>
      </a:accent1>
      <a:accent2>
        <a:srgbClr val="2683C6"/>
      </a:accent2>
      <a:accent3>
        <a:srgbClr val="27CED7"/>
      </a:accent3>
      <a:accent4>
        <a:srgbClr val="42BA97"/>
      </a:accent4>
      <a:accent5>
        <a:srgbClr val="3E8853"/>
      </a:accent5>
      <a:accent6>
        <a:srgbClr val="62A39F"/>
      </a:accent6>
      <a:hlink>
        <a:srgbClr val="F49100"/>
      </a:hlink>
      <a:folHlink>
        <a:srgbClr val="739D9B"/>
      </a:folHlink>
    </a:clrScheme>
    <a:fontScheme name="Savon">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Savon">
      <a:fillStyleLst>
        <a:solidFill>
          <a:schemeClr val="phClr"/>
        </a:solidFill>
        <a:gradFill rotWithShape="1">
          <a:gsLst>
            <a:gs pos="0">
              <a:schemeClr val="phClr">
                <a:tint val="60000"/>
                <a:satMod val="105000"/>
                <a:lumMod val="105000"/>
              </a:schemeClr>
            </a:gs>
            <a:gs pos="100000">
              <a:schemeClr val="phClr">
                <a:tint val="65000"/>
                <a:satMod val="100000"/>
                <a:lumMod val="100000"/>
              </a:schemeClr>
            </a:gs>
            <a:gs pos="100000">
              <a:schemeClr val="phClr">
                <a:tint val="70000"/>
                <a:satMod val="100000"/>
                <a:lumMod val="100000"/>
              </a:schemeClr>
            </a:gs>
          </a:gsLst>
          <a:lin ang="5400000" scaled="0"/>
        </a:gradFill>
        <a:gradFill rotWithShape="1">
          <a:gsLst>
            <a:gs pos="0">
              <a:schemeClr val="phClr">
                <a:satMod val="100000"/>
                <a:lumMod val="100000"/>
              </a:schemeClr>
            </a:gs>
            <a:gs pos="50000">
              <a:schemeClr val="phClr">
                <a:shade val="99000"/>
                <a:satMod val="105000"/>
                <a:lumMod val="100000"/>
              </a:schemeClr>
            </a:gs>
            <a:gs pos="100000">
              <a:schemeClr val="phClr">
                <a:shade val="98000"/>
                <a:satMod val="105000"/>
                <a:lumMod val="100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38100" dist="12700" dir="5400000" algn="ctr" rotWithShape="0">
              <a:srgbClr val="000000">
                <a:alpha val="63000"/>
              </a:srgbClr>
            </a:outerShdw>
          </a:effectLst>
        </a:effectStyle>
        <a:effectStyle>
          <a:effectLst>
            <a:outerShdw blurRad="57150" dist="19050" dir="5400000" algn="ctr" rotWithShape="0">
              <a:srgbClr val="000000">
                <a:alpha val="63000"/>
              </a:srgbClr>
            </a:outerShdw>
          </a:effectLst>
          <a:scene3d>
            <a:camera prst="orthographicFront">
              <a:rot lat="0" lon="0" rev="0"/>
            </a:camera>
            <a:lightRig rig="flat" dir="tl">
              <a:rot lat="0" lon="0" rev="4200000"/>
            </a:lightRig>
          </a:scene3d>
          <a:sp3d prstMaterial="flat">
            <a:bevelT w="50800" h="63500" prst="riblet"/>
          </a:sp3d>
        </a:effectStyle>
      </a:effectStyleLst>
      <a:bgFillStyleLst>
        <a:solidFill>
          <a:schemeClr val="phClr"/>
        </a:solidFill>
        <a:gradFill rotWithShape="1">
          <a:gsLst>
            <a:gs pos="0">
              <a:schemeClr val="phClr">
                <a:tint val="90000"/>
                <a:shade val="92000"/>
                <a:satMod val="160000"/>
              </a:schemeClr>
            </a:gs>
            <a:gs pos="77000">
              <a:schemeClr val="phClr">
                <a:tint val="100000"/>
                <a:shade val="73000"/>
                <a:satMod val="155000"/>
              </a:schemeClr>
            </a:gs>
            <a:gs pos="100000">
              <a:schemeClr val="phClr">
                <a:tint val="100000"/>
                <a:shade val="67000"/>
                <a:satMod val="145000"/>
              </a:schemeClr>
            </a:gs>
          </a:gsLst>
          <a:lin ang="5400000" scaled="0"/>
        </a:gradFill>
        <a:blipFill rotWithShape="1">
          <a:blip xmlns:r="http://schemas.openxmlformats.org/officeDocument/2006/relationships" r:embed="rId1">
            <a:duotone>
              <a:schemeClr val="phClr">
                <a:tint val="95000"/>
              </a:schemeClr>
              <a:schemeClr val="phClr">
                <a:shade val="92000"/>
                <a:satMod val="115000"/>
              </a:schemeClr>
            </a:duotone>
          </a:blip>
          <a:tile tx="0" ty="0" sx="60000" sy="60000" flip="none" algn="tl"/>
        </a:blipFill>
      </a:bgFillStyleLst>
    </a:fmtScheme>
  </a:themeElements>
  <a:objectDefaults/>
  <a:extraClrSchemeLst/>
  <a:extLst>
    <a:ext uri="{05A4C25C-085E-4340-85A3-A5531E510DB2}">
      <thm15:themeFamily xmlns:thm15="http://schemas.microsoft.com/office/thememl/2012/main" name="Savon" id="{1306E473-ED32-493B-A2D0-240A757EDD34}" vid="{C20BADFE-D095-436F-9677-9264042809F0}"/>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choosealicense.com/licenses/mit/"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54D61-D011-47C3-803B-A65EF5C5051C}">
  <sheetPr codeName="Hoja1"/>
  <dimension ref="A1:A37"/>
  <sheetViews>
    <sheetView tabSelected="1" workbookViewId="0">
      <selection activeCell="A8" sqref="A8"/>
    </sheetView>
  </sheetViews>
  <sheetFormatPr baseColWidth="10" defaultRowHeight="13.8" x14ac:dyDescent="0.25"/>
  <cols>
    <col min="1" max="1" width="143.296875" customWidth="1"/>
  </cols>
  <sheetData>
    <row r="1" spans="1:1" ht="33" thickBot="1" x14ac:dyDescent="0.3">
      <c r="A1" s="21" t="s">
        <v>93</v>
      </c>
    </row>
    <row r="2" spans="1:1" ht="30" x14ac:dyDescent="0.25">
      <c r="A2" s="22" t="s">
        <v>63</v>
      </c>
    </row>
    <row r="3" spans="1:1" ht="15" x14ac:dyDescent="0.25">
      <c r="A3" s="22"/>
    </row>
    <row r="4" spans="1:1" ht="25.8" thickBot="1" x14ac:dyDescent="0.3">
      <c r="A4" s="23" t="s">
        <v>64</v>
      </c>
    </row>
    <row r="5" spans="1:1" ht="15" x14ac:dyDescent="0.25">
      <c r="A5" s="24" t="s">
        <v>65</v>
      </c>
    </row>
    <row r="6" spans="1:1" ht="15" x14ac:dyDescent="0.25">
      <c r="A6" s="24" t="s">
        <v>66</v>
      </c>
    </row>
    <row r="7" spans="1:1" ht="15" x14ac:dyDescent="0.25">
      <c r="A7" s="24" t="s">
        <v>67</v>
      </c>
    </row>
    <row r="8" spans="1:1" ht="15" x14ac:dyDescent="0.25">
      <c r="A8" s="24" t="s">
        <v>68</v>
      </c>
    </row>
    <row r="9" spans="1:1" ht="15" x14ac:dyDescent="0.25">
      <c r="A9" s="24" t="s">
        <v>69</v>
      </c>
    </row>
    <row r="10" spans="1:1" ht="15" x14ac:dyDescent="0.25">
      <c r="A10" s="24" t="s">
        <v>70</v>
      </c>
    </row>
    <row r="11" spans="1:1" ht="15" x14ac:dyDescent="0.25">
      <c r="A11" s="24"/>
    </row>
    <row r="12" spans="1:1" ht="25.8" thickBot="1" x14ac:dyDescent="0.3">
      <c r="A12" s="23" t="s">
        <v>71</v>
      </c>
    </row>
    <row r="13" spans="1:1" ht="15" x14ac:dyDescent="0.25">
      <c r="A13" s="24" t="s">
        <v>72</v>
      </c>
    </row>
    <row r="14" spans="1:1" ht="15" x14ac:dyDescent="0.25">
      <c r="A14" s="24" t="s">
        <v>73</v>
      </c>
    </row>
    <row r="15" spans="1:1" ht="15" x14ac:dyDescent="0.25">
      <c r="A15" s="24" t="s">
        <v>74</v>
      </c>
    </row>
    <row r="16" spans="1:1" ht="15" x14ac:dyDescent="0.25">
      <c r="A16" s="24" t="s">
        <v>75</v>
      </c>
    </row>
    <row r="17" spans="1:1" ht="15" x14ac:dyDescent="0.25">
      <c r="A17" s="24"/>
    </row>
    <row r="18" spans="1:1" ht="25.8" thickBot="1" x14ac:dyDescent="0.3">
      <c r="A18" s="23" t="s">
        <v>76</v>
      </c>
    </row>
    <row r="19" spans="1:1" ht="15" x14ac:dyDescent="0.25">
      <c r="A19" s="24" t="s">
        <v>77</v>
      </c>
    </row>
    <row r="20" spans="1:1" ht="15" x14ac:dyDescent="0.25">
      <c r="A20" s="24" t="s">
        <v>78</v>
      </c>
    </row>
    <row r="21" spans="1:1" ht="15" x14ac:dyDescent="0.25">
      <c r="A21" s="24" t="s">
        <v>79</v>
      </c>
    </row>
    <row r="22" spans="1:1" ht="15" x14ac:dyDescent="0.25">
      <c r="A22" s="24" t="s">
        <v>80</v>
      </c>
    </row>
    <row r="23" spans="1:1" ht="15" x14ac:dyDescent="0.25">
      <c r="A23" s="24" t="s">
        <v>81</v>
      </c>
    </row>
    <row r="24" spans="1:1" ht="15" x14ac:dyDescent="0.25">
      <c r="A24" s="22"/>
    </row>
    <row r="25" spans="1:1" ht="25.8" thickBot="1" x14ac:dyDescent="0.3">
      <c r="A25" s="23" t="s">
        <v>82</v>
      </c>
    </row>
    <row r="26" spans="1:1" ht="15" x14ac:dyDescent="0.25">
      <c r="A26" s="24" t="s">
        <v>83</v>
      </c>
    </row>
    <row r="27" spans="1:1" ht="15" x14ac:dyDescent="0.25">
      <c r="A27" s="24" t="s">
        <v>84</v>
      </c>
    </row>
    <row r="28" spans="1:1" ht="15" x14ac:dyDescent="0.25">
      <c r="A28" s="24" t="s">
        <v>85</v>
      </c>
    </row>
    <row r="29" spans="1:1" ht="15" x14ac:dyDescent="0.25">
      <c r="A29" s="24" t="s">
        <v>86</v>
      </c>
    </row>
    <row r="30" spans="1:1" ht="15" x14ac:dyDescent="0.25">
      <c r="A30" s="24"/>
    </row>
    <row r="31" spans="1:1" ht="25.8" thickBot="1" x14ac:dyDescent="0.3">
      <c r="A31" s="23" t="s">
        <v>87</v>
      </c>
    </row>
    <row r="32" spans="1:1" ht="15" x14ac:dyDescent="0.25">
      <c r="A32" s="22" t="s">
        <v>88</v>
      </c>
    </row>
    <row r="33" spans="1:1" ht="15" x14ac:dyDescent="0.25">
      <c r="A33" s="22" t="s">
        <v>89</v>
      </c>
    </row>
    <row r="34" spans="1:1" ht="15" x14ac:dyDescent="0.25">
      <c r="A34" s="22" t="s">
        <v>90</v>
      </c>
    </row>
    <row r="35" spans="1:1" ht="15" x14ac:dyDescent="0.25">
      <c r="A35" s="22"/>
    </row>
    <row r="36" spans="1:1" ht="25.8" thickBot="1" x14ac:dyDescent="0.3">
      <c r="A36" s="23" t="s">
        <v>91</v>
      </c>
    </row>
    <row r="37" spans="1:1" x14ac:dyDescent="0.25">
      <c r="A37" s="25" t="s">
        <v>92</v>
      </c>
    </row>
  </sheetData>
  <sheetProtection sheet="1" objects="1" scenarios="1"/>
  <hyperlinks>
    <hyperlink ref="A37" r:id="rId1" display="https://choosealicense.com/licenses/mit/" xr:uid="{4EEF79F9-46D1-4548-BEC2-2DDDF9DB8FCA}"/>
  </hyperlinks>
  <pageMargins left="0.7" right="0.7" top="0.75" bottom="0.75" header="0.3" footer="0.3"/>
  <pageSetup orientation="portrait" r:id="rId2"/>
  <headerFooter>
    <oddHeader xml:space="preserve">&amp;C&amp;"arial,Regular"&amp;8&amp;KE29218Airbus Amber </oddHeader>
    <oddFooter xml:space="preserve">&amp;C&amp;"arial,Regular"&amp;8&amp;KE29218Airbus Amber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9300-0BA9-42E1-9295-9497DBFF839F}">
  <sheetPr codeName="Hoja2"/>
  <dimension ref="B5:F40"/>
  <sheetViews>
    <sheetView workbookViewId="0">
      <selection activeCell="G11" sqref="G11"/>
    </sheetView>
  </sheetViews>
  <sheetFormatPr baseColWidth="10" defaultRowHeight="13.8" x14ac:dyDescent="0.25"/>
  <cols>
    <col min="1" max="1" width="15.3984375" bestFit="1" customWidth="1"/>
    <col min="2" max="2" width="16.59765625" bestFit="1" customWidth="1"/>
    <col min="3" max="3" width="16.09765625" bestFit="1" customWidth="1"/>
    <col min="4" max="4" width="15.59765625" style="5" customWidth="1"/>
    <col min="5" max="5" width="22" bestFit="1" customWidth="1"/>
    <col min="6" max="6" width="17.19921875" bestFit="1" customWidth="1"/>
    <col min="7" max="7" width="16.59765625" bestFit="1" customWidth="1"/>
    <col min="8" max="8" width="11" bestFit="1" customWidth="1"/>
  </cols>
  <sheetData>
    <row r="5" spans="4:6" ht="14.4" thickBot="1" x14ac:dyDescent="0.3"/>
    <row r="6" spans="4:6" x14ac:dyDescent="0.25">
      <c r="D6" s="6" t="s">
        <v>47</v>
      </c>
      <c r="E6" s="7" t="s">
        <v>48</v>
      </c>
    </row>
    <row r="7" spans="4:6" x14ac:dyDescent="0.25">
      <c r="D7" s="8" t="s">
        <v>49</v>
      </c>
      <c r="E7" s="9">
        <f ca="1">TODAY()</f>
        <v>45967</v>
      </c>
    </row>
    <row r="8" spans="4:6" ht="14.4" thickBot="1" x14ac:dyDescent="0.3">
      <c r="D8" s="10" t="s">
        <v>46</v>
      </c>
      <c r="E8" s="11">
        <f>GETPIVOTDATA("Cost (€)",$E$11)</f>
        <v>330.25</v>
      </c>
    </row>
    <row r="11" spans="4:6" x14ac:dyDescent="0.25">
      <c r="E11" s="18" t="s">
        <v>1</v>
      </c>
      <c r="F11" t="s">
        <v>45</v>
      </c>
    </row>
    <row r="12" spans="4:6" x14ac:dyDescent="0.25">
      <c r="E12" s="19" t="s">
        <v>6</v>
      </c>
      <c r="F12" s="5">
        <v>177.5</v>
      </c>
    </row>
    <row r="13" spans="4:6" x14ac:dyDescent="0.25">
      <c r="E13" s="20" t="s">
        <v>53</v>
      </c>
      <c r="F13" s="5">
        <v>135</v>
      </c>
    </row>
    <row r="14" spans="4:6" x14ac:dyDescent="0.25">
      <c r="E14" s="20" t="s">
        <v>52</v>
      </c>
      <c r="F14" s="5">
        <v>42.5</v>
      </c>
    </row>
    <row r="15" spans="4:6" x14ac:dyDescent="0.25">
      <c r="E15" s="19" t="s">
        <v>28</v>
      </c>
      <c r="F15" s="5">
        <v>124</v>
      </c>
    </row>
    <row r="16" spans="4:6" x14ac:dyDescent="0.25">
      <c r="E16" s="20" t="s">
        <v>58</v>
      </c>
      <c r="F16" s="5">
        <v>124</v>
      </c>
    </row>
    <row r="17" spans="4:6" x14ac:dyDescent="0.25">
      <c r="E17" s="19" t="s">
        <v>19</v>
      </c>
      <c r="F17" s="5">
        <v>28.749999999999996</v>
      </c>
    </row>
    <row r="18" spans="4:6" x14ac:dyDescent="0.25">
      <c r="E18" s="20" t="s">
        <v>55</v>
      </c>
      <c r="F18" s="5">
        <v>28.749999999999996</v>
      </c>
    </row>
    <row r="19" spans="4:6" x14ac:dyDescent="0.25">
      <c r="E19" s="19" t="s">
        <v>50</v>
      </c>
      <c r="F19" s="5">
        <v>330.25</v>
      </c>
    </row>
    <row r="21" spans="4:6" x14ac:dyDescent="0.25">
      <c r="D21"/>
    </row>
    <row r="22" spans="4:6" x14ac:dyDescent="0.25">
      <c r="D22"/>
    </row>
    <row r="23" spans="4:6" x14ac:dyDescent="0.25">
      <c r="D23"/>
    </row>
    <row r="24" spans="4:6" x14ac:dyDescent="0.25">
      <c r="D24"/>
    </row>
    <row r="25" spans="4:6" x14ac:dyDescent="0.25">
      <c r="D25"/>
    </row>
    <row r="26" spans="4:6" x14ac:dyDescent="0.25">
      <c r="D26"/>
    </row>
    <row r="36" spans="2:3" hidden="1" x14ac:dyDescent="0.25">
      <c r="B36" s="18" t="s">
        <v>60</v>
      </c>
      <c r="C36" t="s">
        <v>62</v>
      </c>
    </row>
    <row r="37" spans="2:3" hidden="1" x14ac:dyDescent="0.25">
      <c r="B37" s="19" t="s">
        <v>6</v>
      </c>
      <c r="C37">
        <v>177.5</v>
      </c>
    </row>
    <row r="38" spans="2:3" hidden="1" x14ac:dyDescent="0.25">
      <c r="B38" s="19" t="s">
        <v>28</v>
      </c>
      <c r="C38">
        <v>124</v>
      </c>
    </row>
    <row r="39" spans="2:3" hidden="1" x14ac:dyDescent="0.25">
      <c r="B39" s="19" t="s">
        <v>19</v>
      </c>
      <c r="C39">
        <v>28.749999999999996</v>
      </c>
    </row>
    <row r="40" spans="2:3" hidden="1" x14ac:dyDescent="0.25">
      <c r="B40" s="19" t="s">
        <v>61</v>
      </c>
      <c r="C40">
        <v>330.25</v>
      </c>
    </row>
  </sheetData>
  <sheetProtection sheet="1" pivotTables="0"/>
  <pageMargins left="0.7" right="0.7" top="0.75" bottom="0.75" header="0.3" footer="0.3"/>
  <pageSetup orientation="portrait" r:id="rId3"/>
  <headerFooter>
    <oddHeader xml:space="preserve">&amp;C&amp;"arial,Regular"&amp;8&amp;KE29218Airbus Amber </oddHeader>
    <oddFooter xml:space="preserve">&amp;C&amp;"arial,Regular"&amp;8&amp;KE29218Airbus Amber </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Update">
                <anchor moveWithCells="1">
                  <from>
                    <xdr:col>10</xdr:col>
                    <xdr:colOff>502920</xdr:colOff>
                    <xdr:row>1</xdr:row>
                    <xdr:rowOff>99060</xdr:rowOff>
                  </from>
                  <to>
                    <xdr:col>11</xdr:col>
                    <xdr:colOff>678180</xdr:colOff>
                    <xdr:row>3</xdr:row>
                    <xdr:rowOff>99060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0A7B-919A-4C85-B516-FB423769C3D2}">
  <sheetPr codeName="Hoja3"/>
  <dimension ref="A1:J6"/>
  <sheetViews>
    <sheetView workbookViewId="0">
      <pane ySplit="1" topLeftCell="A2" activePane="bottomLeft" state="frozen"/>
      <selection pane="bottomLeft" activeCell="H17" sqref="H17"/>
    </sheetView>
  </sheetViews>
  <sheetFormatPr baseColWidth="10" defaultRowHeight="13.8" x14ac:dyDescent="0.25"/>
  <cols>
    <col min="1" max="2" width="11.8984375" hidden="1" customWidth="1"/>
    <col min="3" max="3" width="15.59765625" customWidth="1"/>
    <col min="4" max="4" width="11.8984375" hidden="1" customWidth="1"/>
    <col min="5" max="5" width="11.8984375" customWidth="1"/>
    <col min="6" max="6" width="13.19921875" customWidth="1"/>
    <col min="7" max="7" width="17" hidden="1" customWidth="1"/>
    <col min="8" max="8" width="12.5" customWidth="1"/>
    <col min="9" max="9" width="12.5" hidden="1" customWidth="1"/>
    <col min="10" max="10" width="13" customWidth="1"/>
  </cols>
  <sheetData>
    <row r="1" spans="1:10" x14ac:dyDescent="0.25">
      <c r="A1" s="3" t="s">
        <v>40</v>
      </c>
      <c r="B1" s="3" t="s">
        <v>0</v>
      </c>
      <c r="C1" s="12" t="s">
        <v>41</v>
      </c>
      <c r="D1" s="3" t="s">
        <v>2</v>
      </c>
      <c r="E1" s="3" t="s">
        <v>3</v>
      </c>
      <c r="F1" s="12" t="s">
        <v>42</v>
      </c>
      <c r="G1" s="3" t="s">
        <v>8</v>
      </c>
      <c r="H1" s="3" t="s">
        <v>44</v>
      </c>
      <c r="I1" s="3" t="s">
        <v>51</v>
      </c>
      <c r="J1" s="12" t="s">
        <v>43</v>
      </c>
    </row>
    <row r="2" spans="1:10" x14ac:dyDescent="0.25">
      <c r="A2" s="4">
        <f>IF(ISBLANK(Table_Details[[#This Row],[Code]]),"",1)</f>
        <v>1</v>
      </c>
      <c r="B2" s="1" t="str">
        <f>IF(ISBLANK(Table_Details[[#This Row],[Description]]),"",_xlfn.XLOOKUP(Table_Details[[#This Row],[Description]],Table_Prices[Material],Table_Prices[Code]))</f>
        <v>A100</v>
      </c>
      <c r="C2" s="13" t="s">
        <v>5</v>
      </c>
      <c r="D2" s="1" t="str">
        <f>IF(ISBLANK(Table_Details[[#This Row],[Description]]),"",_xlfn.XLOOKUP(Table_Details[[#This Row],[Description]],Table_Prices[Material],Table_Prices[Type]))</f>
        <v>Aluminium</v>
      </c>
      <c r="E2" s="1" t="str">
        <f>IF(ISBLANK(Table_Details[[#This Row],[Description]]),"",_xlfn.XLOOKUP(Table_Details[[#This Row],[Description]],Table_Prices[Material],Table_Prices[Unit]))</f>
        <v>m</v>
      </c>
      <c r="F2" s="15">
        <v>10</v>
      </c>
      <c r="G2" s="2">
        <f>IF(ISBLANK(Table_Details[[#This Row],[Description]]),"",_xlfn.XLOOKUP(Table_Details[[#This Row],[Description]],Table_Prices[Material],Table_Prices[Unit Price (€)]))</f>
        <v>4.25</v>
      </c>
      <c r="H2" s="2">
        <f>IF(ISBLANK(Table_Details[[#This Row],[Description]]),"",VALUE(Table_Details[[#This Row],[Quantity]]*Table_Details[[#This Row],[Unit Price (€)]]))</f>
        <v>42.5</v>
      </c>
      <c r="I2" s="2" t="str">
        <f>IF(ISBLANK(Table_Details[[#This Row],[Description]]),"",_xlfn.XLOOKUP(Table_Details[[#This Row],[Description]],Table_Prices[Material],Table_Prices[Supplier]))</f>
        <v>MatAlu S.A.</v>
      </c>
      <c r="J2" s="13"/>
    </row>
    <row r="3" spans="1:10" x14ac:dyDescent="0.25">
      <c r="A3" s="4">
        <f>IF(ISBLANK(Table_Details[[#This Row],[Code]]),"",A2+1)</f>
        <v>2</v>
      </c>
      <c r="B3" s="1" t="str">
        <f>IF(ISBLANK(Table_Details[[#This Row],[Description]]),"",_xlfn.XLOOKUP(Table_Details[[#This Row],[Description]],Table_Prices[Material],Table_Prices[Code]))</f>
        <v>T410</v>
      </c>
      <c r="C3" s="13" t="s">
        <v>27</v>
      </c>
      <c r="D3" s="1" t="str">
        <f>IF(ISBLANK(Table_Details[[#This Row],[Description]]),"",_xlfn.XLOOKUP(Table_Details[[#This Row],[Description]],Table_Prices[Material],Table_Prices[Type]))</f>
        <v>Fasteners</v>
      </c>
      <c r="E3" s="1" t="str">
        <f>IF(ISBLANK(Table_Details[[#This Row],[Description]]),"",_xlfn.XLOOKUP(Table_Details[[#This Row],[Description]],Table_Prices[Material],Table_Prices[Unit]))</f>
        <v>ud</v>
      </c>
      <c r="F3" s="15">
        <v>50</v>
      </c>
      <c r="G3" s="2">
        <f>IF(ISBLANK(Table_Details[[#This Row],[Description]]),"",_xlfn.XLOOKUP(Table_Details[[#This Row],[Description]],Table_Prices[Material],Table_Prices[Unit Price (€)]))</f>
        <v>0.08</v>
      </c>
      <c r="H3" s="2">
        <f>IF(ISBLANK(Table_Details[[#This Row],[Description]]),"",VALUE(Table_Details[[#This Row],[Quantity]]*Table_Details[[#This Row],[Unit Price (€)]]))</f>
        <v>4</v>
      </c>
      <c r="I3" s="2" t="str">
        <f>IF(ISBLANK(Table_Details[[#This Row],[Description]]),"",_xlfn.XLOOKUP(Table_Details[[#This Row],[Description]],Table_Prices[Material],Table_Prices[Supplier]))</f>
        <v>FastenPro</v>
      </c>
      <c r="J3" s="13"/>
    </row>
    <row r="4" spans="1:10" ht="27.6" x14ac:dyDescent="0.25">
      <c r="A4" s="4">
        <f>IF(ISBLANK(Table_Details[[#This Row],[Code]]),"",A3+1)</f>
        <v>3</v>
      </c>
      <c r="B4" s="1" t="str">
        <f>IF(ISBLANK(Table_Details[[#This Row],[Description]]),"",_xlfn.XLOOKUP(Table_Details[[#This Row],[Description]],Table_Prices[Material],Table_Prices[Code]))</f>
        <v>A110</v>
      </c>
      <c r="C4" s="13" t="s">
        <v>10</v>
      </c>
      <c r="D4" s="1" t="str">
        <f>IF(ISBLANK(Table_Details[[#This Row],[Description]]),"",_xlfn.XLOOKUP(Table_Details[[#This Row],[Description]],Table_Prices[Material],Table_Prices[Type]))</f>
        <v>Aluminium</v>
      </c>
      <c r="E4" s="1" t="str">
        <f>IF(ISBLANK(Table_Details[[#This Row],[Description]]),"",_xlfn.XLOOKUP(Table_Details[[#This Row],[Description]],Table_Prices[Material],Table_Prices[Unit]))</f>
        <v>m^2</v>
      </c>
      <c r="F4" s="15">
        <v>6</v>
      </c>
      <c r="G4" s="2">
        <f>IF(ISBLANK(Table_Details[[#This Row],[Description]]),"",_xlfn.XLOOKUP(Table_Details[[#This Row],[Description]],Table_Prices[Material],Table_Prices[Unit Price (€)]))</f>
        <v>22.5</v>
      </c>
      <c r="H4" s="2">
        <f>IF(ISBLANK(Table_Details[[#This Row],[Description]]),"",VALUE(Table_Details[[#This Row],[Quantity]]*Table_Details[[#This Row],[Unit Price (€)]]))</f>
        <v>135</v>
      </c>
      <c r="I4" s="2" t="str">
        <f>IF(ISBLANK(Table_Details[[#This Row],[Description]]),"",_xlfn.XLOOKUP(Table_Details[[#This Row],[Description]],Table_Prices[Material],Table_Prices[Supplier]))</f>
        <v>AeroMetals  Iberia</v>
      </c>
      <c r="J4" s="13"/>
    </row>
    <row r="5" spans="1:10" ht="27.6" x14ac:dyDescent="0.25">
      <c r="A5" s="4">
        <f>IF(ISBLANK(Table_Details[[#This Row],[Code]]),"",A4+1)</f>
        <v>4</v>
      </c>
      <c r="B5" s="1" t="str">
        <f>IF(ISBLANK(Table_Details[[#This Row],[Description]]),"",_xlfn.XLOOKUP(Table_Details[[#This Row],[Description]],Table_Prices[Material],Table_Prices[Code]))</f>
        <v>P310</v>
      </c>
      <c r="C5" s="13" t="s">
        <v>22</v>
      </c>
      <c r="D5" s="1" t="str">
        <f>IF(ISBLANK(Table_Details[[#This Row],[Description]]),"",_xlfn.XLOOKUP(Table_Details[[#This Row],[Description]],Table_Prices[Material],Table_Prices[Type]))</f>
        <v>Plastic</v>
      </c>
      <c r="E5" s="1" t="str">
        <f>IF(ISBLANK(Table_Details[[#This Row],[Description]]),"",_xlfn.XLOOKUP(Table_Details[[#This Row],[Description]],Table_Prices[Material],Table_Prices[Unit]))</f>
        <v>m</v>
      </c>
      <c r="F5" s="15">
        <v>25</v>
      </c>
      <c r="G5" s="2">
        <f>IF(ISBLANK(Table_Details[[#This Row],[Description]]),"",_xlfn.XLOOKUP(Table_Details[[#This Row],[Description]],Table_Prices[Material],Table_Prices[Unit Price (€)]))</f>
        <v>1.1499999999999999</v>
      </c>
      <c r="H5" s="2">
        <f>IF(ISBLANK(Table_Details[[#This Row],[Description]]),"",VALUE(Table_Details[[#This Row],[Quantity]]*Table_Details[[#This Row],[Unit Price (€)]]))</f>
        <v>28.749999999999996</v>
      </c>
      <c r="I5" s="2" t="str">
        <f>IF(ISBLANK(Table_Details[[#This Row],[Description]]),"",_xlfn.XLOOKUP(Table_Details[[#This Row],[Description]],Table_Prices[Material],Table_Prices[Supplier]))</f>
        <v>Polimac Europe</v>
      </c>
      <c r="J5" s="13"/>
    </row>
    <row r="6" spans="1:10" ht="14.4" thickBot="1" x14ac:dyDescent="0.3">
      <c r="A6" s="4">
        <f>IF(ISBLANK(Table_Details[[#This Row],[Code]]),"",A5+1)</f>
        <v>5</v>
      </c>
      <c r="B6" s="1" t="str">
        <f>IF(ISBLANK(Table_Details[[#This Row],[Description]]),"",_xlfn.XLOOKUP(Table_Details[[#This Row],[Description]],Table_Prices[Material],Table_Prices[Code]))</f>
        <v>T400</v>
      </c>
      <c r="C6" s="14" t="s">
        <v>24</v>
      </c>
      <c r="D6" s="1" t="str">
        <f>IF(ISBLANK(Table_Details[[#This Row],[Description]]),"",_xlfn.XLOOKUP(Table_Details[[#This Row],[Description]],Table_Prices[Material],Table_Prices[Type]))</f>
        <v>Fasteners</v>
      </c>
      <c r="E6" s="1" t="str">
        <f>IF(ISBLANK(Table_Details[[#This Row],[Description]]),"",_xlfn.XLOOKUP(Table_Details[[#This Row],[Description]],Table_Prices[Material],Table_Prices[Unit]))</f>
        <v>ud</v>
      </c>
      <c r="F6" s="16">
        <v>1000</v>
      </c>
      <c r="G6" s="2">
        <f>IF(ISBLANK(Table_Details[[#This Row],[Description]]),"",_xlfn.XLOOKUP(Table_Details[[#This Row],[Description]],Table_Prices[Material],Table_Prices[Unit Price (€)]))</f>
        <v>0.12</v>
      </c>
      <c r="H6" s="2">
        <f>IF(ISBLANK(Table_Details[[#This Row],[Description]]),"",VALUE(Table_Details[[#This Row],[Quantity]]*Table_Details[[#This Row],[Unit Price (€)]]))</f>
        <v>120</v>
      </c>
      <c r="I6" s="2" t="str">
        <f>IF(ISBLANK(Table_Details[[#This Row],[Description]]),"",_xlfn.XLOOKUP(Table_Details[[#This Row],[Description]],Table_Prices[Material],Table_Prices[Supplier]))</f>
        <v>FastenPro</v>
      </c>
      <c r="J6" s="14"/>
    </row>
  </sheetData>
  <sheetProtection sheet="1" objects="1" scenarios="1"/>
  <pageMargins left="0.7" right="0.7" top="0.75" bottom="0.75" header="0.3" footer="0.3"/>
  <pageSetup orientation="portrait" r:id="rId1"/>
  <headerFooter>
    <oddHeader xml:space="preserve">&amp;C&amp;"arial,Regular"&amp;8&amp;KE29218Airbus Amber </oddHeader>
    <oddFooter xml:space="preserve">&amp;C&amp;"arial,Regular"&amp;8&amp;KE29218Airbus Amber </oddFooter>
  </headerFooter>
  <ignoredErrors>
    <ignoredError sqref="A2" calculatedColumn="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E7173EF-6F1C-4741-BAEF-F87CC8B9E2BE}">
          <x14:formula1>
            <xm:f>Prices!$B$2:$B$13</xm:f>
          </x14:formula1>
          <xm:sqref>C2:C6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8DD45-C1B5-452B-BCEC-189EE15A0075}">
  <sheetPr codeName="Hoja4"/>
  <dimension ref="A1:F14"/>
  <sheetViews>
    <sheetView workbookViewId="0">
      <pane ySplit="1" topLeftCell="A2" activePane="bottomLeft" state="frozen"/>
      <selection pane="bottomLeft" activeCell="J10" sqref="J10"/>
    </sheetView>
  </sheetViews>
  <sheetFormatPr baseColWidth="10" defaultRowHeight="13.8" x14ac:dyDescent="0.25"/>
  <cols>
    <col min="1" max="1" width="10" customWidth="1"/>
    <col min="2" max="2" width="16" customWidth="1"/>
    <col min="3" max="3" width="10.69921875" customWidth="1"/>
    <col min="4" max="4" width="9.3984375" customWidth="1"/>
    <col min="5" max="5" width="17" customWidth="1"/>
    <col min="6" max="6" width="11.8984375" customWidth="1"/>
  </cols>
  <sheetData>
    <row r="1" spans="1:6" x14ac:dyDescent="0.25">
      <c r="A1" s="3" t="s">
        <v>0</v>
      </c>
      <c r="B1" s="3" t="s">
        <v>1</v>
      </c>
      <c r="C1" s="3" t="s">
        <v>2</v>
      </c>
      <c r="D1" s="3" t="s">
        <v>3</v>
      </c>
      <c r="E1" s="3" t="s">
        <v>8</v>
      </c>
      <c r="F1" t="s">
        <v>51</v>
      </c>
    </row>
    <row r="2" spans="1:6" x14ac:dyDescent="0.25">
      <c r="A2" s="1" t="s">
        <v>4</v>
      </c>
      <c r="B2" s="1" t="s">
        <v>5</v>
      </c>
      <c r="C2" s="1" t="s">
        <v>6</v>
      </c>
      <c r="D2" s="1" t="s">
        <v>7</v>
      </c>
      <c r="E2" s="2">
        <v>4.25</v>
      </c>
      <c r="F2" s="1" t="s">
        <v>52</v>
      </c>
    </row>
    <row r="3" spans="1:6" ht="27.6" x14ac:dyDescent="0.25">
      <c r="A3" s="1" t="s">
        <v>9</v>
      </c>
      <c r="B3" s="1" t="s">
        <v>10</v>
      </c>
      <c r="C3" s="1" t="s">
        <v>6</v>
      </c>
      <c r="D3" s="1" t="s">
        <v>11</v>
      </c>
      <c r="E3" s="2">
        <v>22.5</v>
      </c>
      <c r="F3" s="1" t="s">
        <v>53</v>
      </c>
    </row>
    <row r="4" spans="1:6" ht="27.6" x14ac:dyDescent="0.25">
      <c r="A4" s="1" t="s">
        <v>12</v>
      </c>
      <c r="B4" s="1" t="s">
        <v>13</v>
      </c>
      <c r="C4" s="1" t="s">
        <v>14</v>
      </c>
      <c r="D4" s="1" t="s">
        <v>11</v>
      </c>
      <c r="E4" s="2">
        <v>12.5</v>
      </c>
      <c r="F4" s="1" t="s">
        <v>53</v>
      </c>
    </row>
    <row r="5" spans="1:6" ht="27.6" x14ac:dyDescent="0.25">
      <c r="A5" s="1" t="s">
        <v>15</v>
      </c>
      <c r="B5" s="1" t="s">
        <v>16</v>
      </c>
      <c r="C5" s="1" t="s">
        <v>14</v>
      </c>
      <c r="D5" s="1" t="s">
        <v>7</v>
      </c>
      <c r="E5" s="2">
        <v>1.8</v>
      </c>
      <c r="F5" s="1" t="s">
        <v>53</v>
      </c>
    </row>
    <row r="6" spans="1:6" x14ac:dyDescent="0.25">
      <c r="A6" s="1" t="s">
        <v>17</v>
      </c>
      <c r="B6" s="1" t="s">
        <v>18</v>
      </c>
      <c r="C6" s="1" t="s">
        <v>19</v>
      </c>
      <c r="D6" s="1" t="s">
        <v>20</v>
      </c>
      <c r="E6" s="2">
        <v>7.9</v>
      </c>
      <c r="F6" s="17" t="s">
        <v>54</v>
      </c>
    </row>
    <row r="7" spans="1:6" ht="27.6" x14ac:dyDescent="0.25">
      <c r="A7" s="1" t="s">
        <v>21</v>
      </c>
      <c r="B7" s="1" t="s">
        <v>22</v>
      </c>
      <c r="C7" s="1" t="s">
        <v>19</v>
      </c>
      <c r="D7" s="1" t="s">
        <v>7</v>
      </c>
      <c r="E7" s="2">
        <v>1.1499999999999999</v>
      </c>
      <c r="F7" s="17" t="s">
        <v>55</v>
      </c>
    </row>
    <row r="8" spans="1:6" x14ac:dyDescent="0.25">
      <c r="A8" s="1" t="s">
        <v>23</v>
      </c>
      <c r="B8" s="1" t="s">
        <v>24</v>
      </c>
      <c r="C8" s="1" t="s">
        <v>28</v>
      </c>
      <c r="D8" s="1" t="s">
        <v>25</v>
      </c>
      <c r="E8" s="2">
        <v>0.12</v>
      </c>
      <c r="F8" s="1" t="s">
        <v>58</v>
      </c>
    </row>
    <row r="9" spans="1:6" x14ac:dyDescent="0.25">
      <c r="A9" s="1" t="s">
        <v>26</v>
      </c>
      <c r="B9" s="1" t="s">
        <v>27</v>
      </c>
      <c r="C9" s="1" t="s">
        <v>28</v>
      </c>
      <c r="D9" s="1" t="s">
        <v>25</v>
      </c>
      <c r="E9" s="2">
        <v>0.08</v>
      </c>
      <c r="F9" s="1" t="s">
        <v>58</v>
      </c>
    </row>
    <row r="10" spans="1:6" ht="27.6" x14ac:dyDescent="0.25">
      <c r="A10" s="1" t="s">
        <v>29</v>
      </c>
      <c r="B10" s="1" t="s">
        <v>30</v>
      </c>
      <c r="C10" s="1" t="s">
        <v>31</v>
      </c>
      <c r="D10" s="1" t="s">
        <v>7</v>
      </c>
      <c r="E10" s="2">
        <v>0.55000000000000004</v>
      </c>
      <c r="F10" s="17" t="s">
        <v>56</v>
      </c>
    </row>
    <row r="11" spans="1:6" x14ac:dyDescent="0.25">
      <c r="A11" s="1" t="s">
        <v>32</v>
      </c>
      <c r="B11" s="1" t="s">
        <v>33</v>
      </c>
      <c r="C11" s="1" t="s">
        <v>31</v>
      </c>
      <c r="D11" s="1" t="s">
        <v>25</v>
      </c>
      <c r="E11" s="2">
        <v>0.85</v>
      </c>
      <c r="F11" s="17" t="s">
        <v>57</v>
      </c>
    </row>
    <row r="12" spans="1:6" ht="27.6" x14ac:dyDescent="0.25">
      <c r="A12" s="1" t="s">
        <v>34</v>
      </c>
      <c r="B12" s="1" t="s">
        <v>35</v>
      </c>
      <c r="C12" s="1" t="s">
        <v>36</v>
      </c>
      <c r="D12" s="1" t="s">
        <v>37</v>
      </c>
      <c r="E12" s="2">
        <v>14.9</v>
      </c>
      <c r="F12" s="17" t="s">
        <v>59</v>
      </c>
    </row>
    <row r="13" spans="1:6" x14ac:dyDescent="0.25">
      <c r="A13" s="1" t="s">
        <v>38</v>
      </c>
      <c r="B13" s="1" t="s">
        <v>39</v>
      </c>
      <c r="C13" s="1" t="s">
        <v>36</v>
      </c>
      <c r="D13" s="1" t="s">
        <v>37</v>
      </c>
      <c r="E13" s="2">
        <v>9.75</v>
      </c>
      <c r="F13" s="17" t="s">
        <v>59</v>
      </c>
    </row>
    <row r="14" spans="1:6" x14ac:dyDescent="0.25">
      <c r="A14" s="1"/>
      <c r="B14" s="1"/>
      <c r="C14" s="1"/>
      <c r="D14" s="1"/>
      <c r="E14" s="2"/>
    </row>
  </sheetData>
  <sheetProtection sheet="1" objects="1" scenarios="1"/>
  <pageMargins left="0.7" right="0.7" top="0.75" bottom="0.75" header="0.3" footer="0.3"/>
  <pageSetup orientation="portrait" r:id="rId1"/>
  <headerFooter>
    <oddHeader xml:space="preserve">&amp;C&amp;"arial,Regular"&amp;8&amp;KE29218Airbus Amber </oddHeader>
    <oddFooter xml:space="preserve">&amp;C&amp;"arial,Regular"&amp;8&amp;KE29218Airbus Amber </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Notes</vt:lpstr>
      <vt:lpstr>Summary</vt:lpstr>
      <vt:lpstr>Detail</vt:lpstr>
      <vt:lpstr>Prices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 Elias, Sandra [ES]</dc:creator>
  <cp:lastModifiedBy>Sandra Martin Elias</cp:lastModifiedBy>
  <dcterms:created xsi:type="dcterms:W3CDTF">2025-11-03T11:04:38Z</dcterms:created>
  <dcterms:modified xsi:type="dcterms:W3CDTF">2025-11-06T08:11:59Z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090efd07-71a5-468d-aea4-bc1181754fea</vt:lpwstr>
  </property>
  <property fmtid="{D5CDD505-2E9C-101B-9397-08002B2CF9AE}" pid="3" name="L">
    <vt:lpwstr>XXSEN</vt:lpwstr>
  </property>
  <property fmtid="{D5CDD505-2E9C-101B-9397-08002B2CF9AE}" pid="4" name="CC">
    <vt:lpwstr>XXAAM</vt:lpwstr>
  </property>
  <property fmtid="{D5CDD505-2E9C-101B-9397-08002B2CF9AE}" pid="5" name="PP">
    <vt:lpwstr>XXPCA</vt:lpwstr>
  </property>
  <property fmtid="{D5CDD505-2E9C-101B-9397-08002B2CF9AE}" pid="6" name="E">
    <vt:lpwstr>E0000</vt:lpwstr>
  </property>
  <property fmtid="{D5CDD505-2E9C-101B-9397-08002B2CF9AE}" pid="7" name="GD">
    <vt:lpwstr>XXGCA</vt:lpwstr>
  </property>
  <property fmtid="{D5CDD505-2E9C-101B-9397-08002B2CF9AE}" pid="8" name="OT">
    <vt:lpwstr>XXOCA</vt:lpwstr>
  </property>
  <property fmtid="{D5CDD505-2E9C-101B-9397-08002B2CF9AE}" pid="9" name="CAV">
    <vt:lpwstr>NOC</vt:lpwstr>
  </property>
  <property fmtid="{D5CDD505-2E9C-101B-9397-08002B2CF9AE}" pid="10" name="STAMP">
    <vt:lpwstr>YES</vt:lpwstr>
  </property>
</Properties>
</file>